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owntime &amp; Pareto" sheetId="2" state="visible" r:id="rId2"/>
    <sheet xmlns:r="http://schemas.openxmlformats.org/officeDocument/2006/relationships" name="AI Models &amp; Telemetry" sheetId="3" state="visible" r:id="rId3"/>
    <sheet xmlns:r="http://schemas.openxmlformats.org/officeDocument/2006/relationships" name="Risk Alerts Log" sheetId="4" state="visible" r:id="rId4"/>
    <sheet xmlns:r="http://schemas.openxmlformats.org/officeDocument/2006/relationships" name="Financial ROI Model" sheetId="5" state="visible" r:id="rId5"/>
    <sheet xmlns:r="http://schemas.openxmlformats.org/officeDocument/2006/relationships" name="Multi-Site Expansion" sheetId="6" state="visible" r:id="rId6"/>
    <sheet xmlns:r="http://schemas.openxmlformats.org/officeDocument/2006/relationships" name="Schem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&quot; ชม.&quot;"/>
    <numFmt numFmtId="165" formatCode="#,##0&quot; ฿&quot;"/>
    <numFmt numFmtId="166" formatCode="0.0%"/>
    <numFmt numFmtId="167" formatCode="0.0"/>
    <numFmt numFmtId="168" formatCode="#,##0&quot; ms&quot;"/>
    <numFmt numFmtId="169" formatCode="#,##0&quot; เครื่อง&quot;"/>
    <numFmt numFmtId="170" formatCode="#,##0&quot; /100&quot;"/>
    <numFmt numFmtId="171" formatCode="#,##0.0&quot; /100&quot;"/>
  </numFmts>
  <fonts count="16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1"/>
    </font>
    <font>
      <name val="Segoe UI"/>
      <b val="1"/>
      <color rgb="0064748B"/>
      <sz val="9"/>
    </font>
    <font>
      <name val="Segoe UI"/>
      <b val="1"/>
      <color rgb="000891B2"/>
      <sz val="18"/>
    </font>
    <font>
      <name val="Segoe UI"/>
      <i val="1"/>
      <color rgb="0064748B"/>
      <sz val="9"/>
    </font>
    <font>
      <name val="Segoe UI"/>
      <b val="1"/>
      <color rgb="000891B2"/>
      <sz val="13"/>
    </font>
    <font>
      <name val="Segoe UI"/>
      <b val="1"/>
      <color rgb="00FFFFFF"/>
      <sz val="10"/>
    </font>
    <font>
      <name val="Segoe UI"/>
      <color rgb="001E293B"/>
      <sz val="10"/>
    </font>
    <font>
      <name val="Segoe UI"/>
      <b val="1"/>
      <color rgb="000F172A"/>
      <sz val="10"/>
    </font>
    <font>
      <name val="Segoe UI"/>
      <b val="1"/>
      <color rgb="00166534"/>
      <sz val="10"/>
    </font>
    <font>
      <name val="Segoe UI"/>
      <b val="1"/>
      <color rgb="009A3412"/>
      <sz val="10"/>
    </font>
    <font>
      <name val="Segoe UI"/>
      <b val="1"/>
      <color rgb="00991B1B"/>
      <sz val="10"/>
    </font>
    <font>
      <name val="Segoe UI"/>
      <b val="1"/>
      <color rgb="00854D0E"/>
      <sz val="10"/>
    </font>
    <font>
      <name val="Consolas"/>
      <b val="1"/>
      <color rgb="000891B2"/>
      <sz val="9.5"/>
    </font>
    <font>
      <name val="Consolas"/>
      <color rgb="00334155"/>
      <sz val="9.5"/>
    </font>
  </fonts>
  <fills count="11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CFEFF"/>
        <bgColor rgb="00ECFEFF"/>
      </patternFill>
    </fill>
    <fill>
      <patternFill patternType="solid">
        <fgColor rgb="000891B2"/>
        <bgColor rgb="000891B2"/>
      </patternFill>
    </fill>
    <fill>
      <patternFill patternType="solid">
        <fgColor rgb="00DCFCE7"/>
        <bgColor rgb="00DCFCE7"/>
      </patternFill>
    </fill>
    <fill>
      <patternFill patternType="solid">
        <fgColor rgb="00FFEDD5"/>
        <bgColor rgb="00FFEDD5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891B2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2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right" vertical="center" wrapText="1"/>
    </xf>
    <xf numFmtId="165" fontId="8" fillId="4" borderId="1" applyAlignment="1" pivotButton="0" quotePrefix="0" xfId="0">
      <alignment horizontal="right" vertical="center" wrapText="1"/>
    </xf>
    <xf numFmtId="166" fontId="8" fillId="4" borderId="1" applyAlignment="1" pivotButton="0" quotePrefix="0" xfId="0">
      <alignment horizontal="right" vertical="center" wrapText="1"/>
    </xf>
    <xf numFmtId="0" fontId="8" fillId="0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right" vertical="center" wrapText="1"/>
    </xf>
    <xf numFmtId="165" fontId="8" fillId="0" borderId="1" applyAlignment="1" pivotButton="0" quotePrefix="0" xfId="0">
      <alignment horizontal="right" vertical="center" wrapText="1"/>
    </xf>
    <xf numFmtId="166" fontId="8" fillId="0" borderId="1" applyAlignment="1" pivotButton="0" quotePrefix="0" xfId="0">
      <alignment horizontal="right" vertical="center" wrapText="1"/>
    </xf>
    <xf numFmtId="0" fontId="9" fillId="5" borderId="1" applyAlignment="1" pivotButton="0" quotePrefix="0" xfId="0">
      <alignment horizontal="left" vertical="center" wrapText="1"/>
    </xf>
    <xf numFmtId="164" fontId="9" fillId="5" borderId="1" applyAlignment="1" pivotButton="0" quotePrefix="0" xfId="0">
      <alignment horizontal="right" vertical="center" wrapText="1"/>
    </xf>
    <xf numFmtId="165" fontId="9" fillId="5" borderId="1" applyAlignment="1" pivotButton="0" quotePrefix="0" xfId="0">
      <alignment horizontal="right" vertical="center" wrapText="1"/>
    </xf>
    <xf numFmtId="0" fontId="9" fillId="5" borderId="1" applyAlignment="1" pivotButton="0" quotePrefix="0" xfId="0">
      <alignment horizontal="center" vertical="center" wrapText="1"/>
    </xf>
    <xf numFmtId="166" fontId="9" fillId="5" borderId="1" applyAlignment="1" pivotButton="0" quotePrefix="0" xfId="0">
      <alignment horizontal="right" vertical="center" wrapText="1"/>
    </xf>
    <xf numFmtId="3" fontId="8" fillId="0" borderId="1" applyAlignment="1" pivotButton="0" quotePrefix="0" xfId="0">
      <alignment horizontal="right" vertical="center" wrapText="1"/>
    </xf>
    <xf numFmtId="3" fontId="8" fillId="4" borderId="1" applyAlignment="1" pivotButton="0" quotePrefix="0" xfId="0">
      <alignment horizontal="right" vertical="center" wrapText="1"/>
    </xf>
    <xf numFmtId="0" fontId="7" fillId="6" borderId="2" applyAlignment="1" pivotButton="0" quotePrefix="0" xfId="0">
      <alignment horizontal="center" vertical="center" wrapText="1"/>
    </xf>
    <xf numFmtId="167" fontId="8" fillId="4" borderId="1" applyAlignment="1" pivotButton="0" quotePrefix="0" xfId="0">
      <alignment horizontal="right" vertical="center" wrapText="1"/>
    </xf>
    <xf numFmtId="0" fontId="10" fillId="7" borderId="0" applyAlignment="1" pivotButton="0" quotePrefix="0" xfId="0">
      <alignment horizontal="center" vertical="center" wrapText="1"/>
    </xf>
    <xf numFmtId="167" fontId="8" fillId="0" borderId="1" applyAlignment="1" pivotButton="0" quotePrefix="0" xfId="0">
      <alignment horizontal="right" vertical="center" wrapText="1"/>
    </xf>
    <xf numFmtId="0" fontId="11" fillId="8" borderId="0" applyAlignment="1" pivotButton="0" quotePrefix="0" xfId="0">
      <alignment horizontal="center" vertical="center" wrapText="1"/>
    </xf>
    <xf numFmtId="0" fontId="12" fillId="9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168" fontId="8" fillId="4" borderId="1" applyAlignment="1" pivotButton="0" quotePrefix="0" xfId="0">
      <alignment horizontal="right" vertical="center" wrapText="1"/>
    </xf>
    <xf numFmtId="0" fontId="8" fillId="0" borderId="1" applyAlignment="1" pivotButton="0" quotePrefix="0" xfId="0">
      <alignment horizontal="center" vertical="center" wrapText="1"/>
    </xf>
    <xf numFmtId="168" fontId="8" fillId="0" borderId="1" applyAlignment="1" pivotButton="0" quotePrefix="0" xfId="0">
      <alignment horizontal="right" vertical="center" wrapText="1"/>
    </xf>
    <xf numFmtId="2" fontId="8" fillId="4" borderId="1" applyAlignment="1" pivotButton="0" quotePrefix="0" xfId="0">
      <alignment horizontal="right" vertical="center" wrapText="1"/>
    </xf>
    <xf numFmtId="0" fontId="12" fillId="9" borderId="1" applyAlignment="1" pivotButton="0" quotePrefix="0" xfId="0">
      <alignment horizontal="center" vertical="center" wrapText="1"/>
    </xf>
    <xf numFmtId="2" fontId="8" fillId="0" borderId="1" applyAlignment="1" pivotButton="0" quotePrefix="0" xfId="0">
      <alignment horizontal="right" vertical="center" wrapText="1"/>
    </xf>
    <xf numFmtId="0" fontId="11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9" fillId="2" borderId="1" pivotButton="0" quotePrefix="0" xfId="0"/>
    <xf numFmtId="165" fontId="9" fillId="2" borderId="1" applyAlignment="1" pivotButton="0" quotePrefix="0" xfId="0">
      <alignment horizontal="right" vertical="center" wrapText="1"/>
    </xf>
    <xf numFmtId="0" fontId="2" fillId="2" borderId="1" pivotButton="0" quotePrefix="0" xfId="0"/>
    <xf numFmtId="166" fontId="9" fillId="2" borderId="1" applyAlignment="1" pivotButton="0" quotePrefix="0" xfId="0">
      <alignment horizontal="right" vertical="center" wrapText="1"/>
    </xf>
    <xf numFmtId="0" fontId="9" fillId="5" borderId="1" pivotButton="0" quotePrefix="0" xfId="0"/>
    <xf numFmtId="0" fontId="4" fillId="5" borderId="1" applyAlignment="1" pivotButton="0" quotePrefix="0" xfId="0">
      <alignment horizontal="right" vertical="center" wrapText="1"/>
    </xf>
    <xf numFmtId="169" fontId="8" fillId="0" borderId="1" applyAlignment="1" pivotButton="0" quotePrefix="0" xfId="0">
      <alignment horizontal="right" vertical="center" wrapText="1"/>
    </xf>
    <xf numFmtId="170" fontId="8" fillId="0" borderId="1" applyAlignment="1" pivotButton="0" quotePrefix="0" xfId="0">
      <alignment horizontal="right" vertical="center" wrapText="1"/>
    </xf>
    <xf numFmtId="169" fontId="8" fillId="4" borderId="1" applyAlignment="1" pivotButton="0" quotePrefix="0" xfId="0">
      <alignment horizontal="right" vertical="center" wrapText="1"/>
    </xf>
    <xf numFmtId="170" fontId="8" fillId="4" borderId="1" applyAlignment="1" pivotButton="0" quotePrefix="0" xfId="0">
      <alignment horizontal="right" vertical="center" wrapText="1"/>
    </xf>
    <xf numFmtId="169" fontId="9" fillId="5" borderId="1" applyAlignment="1" pivotButton="0" quotePrefix="0" xfId="0">
      <alignment horizontal="right" vertical="center" wrapText="1"/>
    </xf>
    <xf numFmtId="171" fontId="9" fillId="5" borderId="1" applyAlignment="1" pivotButton="0" quotePrefix="0" xfId="0">
      <alignment horizontal="right" vertical="center" wrapText="1"/>
    </xf>
    <xf numFmtId="0" fontId="14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75" customWidth="1" min="1" max="1"/>
    <col width="20" customWidth="1" min="2" max="2"/>
    <col width="27" customWidth="1" min="3" max="3"/>
    <col width="27" customWidth="1" min="4" max="4"/>
    <col width="36" customWidth="1" min="5" max="5"/>
    <col width="24" customWidth="1" min="6" max="6"/>
    <col width="29" customWidth="1" min="7" max="7"/>
    <col width="12" customWidth="1" min="8" max="8"/>
  </cols>
  <sheetData>
    <row r="1">
      <c r="A1" s="1" t="inlineStr">
        <is>
          <t>รายงานสรุปภาพรวมผู้บริหาร: อุตสาหกรรมเครื่องจักรและระบบอัตโนมัติ</t>
        </is>
      </c>
    </row>
    <row r="2">
      <c r="A2" s="2" t="inlineStr">
        <is>
          <t>Machinery &amp; Automation Predictive Intelligence Executive Dashboard Data</t>
        </is>
      </c>
    </row>
    <row r="3"/>
    <row r="4">
      <c r="A4" s="3" t="inlineStr">
        <is>
          <t>ความสูญเสียรวมก่อนติดตั้ง AI</t>
        </is>
      </c>
      <c r="B4" s="4" t="n"/>
      <c r="C4" s="3" t="inlineStr">
        <is>
          <t>เวลา Downtime สะสมรวม</t>
        </is>
      </c>
      <c r="D4" s="4" t="n"/>
      <c r="E4" s="3" t="inlineStr">
        <is>
          <t>อัตราของเสียเครื่องจักร (Defect)</t>
        </is>
      </c>
      <c r="F4" s="4" t="n"/>
      <c r="G4" s="3" t="inlineStr">
        <is>
          <t>ประมาณการคืนทุน (Payback)</t>
        </is>
      </c>
      <c r="H4" s="4" t="n"/>
    </row>
    <row r="5">
      <c r="A5" s="5" t="inlineStr">
        <is>
          <t>38,500,000 ฿</t>
        </is>
      </c>
      <c r="B5" s="4" t="n"/>
      <c r="C5" s="5" t="inlineStr">
        <is>
          <t>482 ชม./ปี</t>
        </is>
      </c>
      <c r="D5" s="4" t="n"/>
      <c r="E5" s="5" t="inlineStr">
        <is>
          <t>4.8%</t>
        </is>
      </c>
      <c r="F5" s="4" t="n"/>
      <c r="G5" s="5" t="inlineStr">
        <is>
          <t>8.5 เดือน</t>
        </is>
      </c>
      <c r="H5" s="4" t="n"/>
    </row>
    <row r="6">
      <c r="A6" s="6" t="inlineStr">
        <is>
          <t>12.4% ของงบการผลิตปี</t>
        </is>
      </c>
      <c r="B6" s="4" t="n"/>
      <c r="C6" s="6" t="inlineStr">
        <is>
          <t>+14.2% สูงกว่าเป้าหมาย</t>
        </is>
      </c>
      <c r="D6" s="4" t="n"/>
      <c r="E6" s="6" t="inlineStr">
        <is>
          <t>สูญเสียวัตถุดิบ ฿8.2M/ปี</t>
        </is>
      </c>
      <c r="F6" s="4" t="n"/>
      <c r="G6" s="6" t="inlineStr">
        <is>
          <t>NPV ฿43.4M / IRR 68.4%</t>
        </is>
      </c>
      <c r="H6" s="4" t="n"/>
    </row>
    <row r="7"/>
    <row r="8">
      <c r="A8" s="7" t="inlineStr">
        <is>
          <t>สรุปดัชนีชี้วัดหลักแยกตามสายการผลิต (Baseline vs Target)</t>
        </is>
      </c>
    </row>
    <row r="9">
      <c r="A9" s="8" t="inlineStr">
        <is>
          <t>สายการผลิต (Production Line)</t>
        </is>
      </c>
      <c r="B9" s="8" t="inlineStr">
        <is>
          <t>ชั่วโมง Downtime</t>
        </is>
      </c>
      <c r="C9" s="8" t="inlineStr">
        <is>
          <t>มูลค่าความสูญเสีย (บาท)</t>
        </is>
      </c>
      <c r="D9" s="8" t="inlineStr">
        <is>
          <t>สาเหตุขัดข้องหลัก</t>
        </is>
      </c>
      <c r="E9" s="8" t="inlineStr">
        <is>
          <t>อัตราของเสีย (%)</t>
        </is>
      </c>
      <c r="F9" s="8" t="inlineStr">
        <is>
          <t>ค่าซ่อมฉุกเฉิน (บาท)</t>
        </is>
      </c>
    </row>
    <row r="10">
      <c r="A10" s="9" t="inlineStr">
        <is>
          <t>Line A - Press Stamping</t>
        </is>
      </c>
      <c r="B10" s="10" t="n">
        <v>182</v>
      </c>
      <c r="C10" s="11" t="n">
        <v>14500000</v>
      </c>
      <c r="D10" s="9" t="inlineStr">
        <is>
          <t>Hydraulic &amp; Die Wear</t>
        </is>
      </c>
      <c r="E10" s="12" t="n">
        <v>0.052</v>
      </c>
      <c r="F10" s="11" t="n">
        <v>5400000</v>
      </c>
    </row>
    <row r="11">
      <c r="A11" s="13" t="inlineStr">
        <is>
          <t>Line B - CNC Milling</t>
        </is>
      </c>
      <c r="B11" s="14" t="n">
        <v>145</v>
      </c>
      <c r="C11" s="15" t="n">
        <v>11200000</v>
      </c>
      <c r="D11" s="13" t="inlineStr">
        <is>
          <t>Spindle Bearing Failure</t>
        </is>
      </c>
      <c r="E11" s="16" t="n">
        <v>0.048</v>
      </c>
      <c r="F11" s="15" t="n">
        <v>4200000</v>
      </c>
    </row>
    <row r="12">
      <c r="A12" s="9" t="inlineStr">
        <is>
          <t>Line C - Robotic Assembly</t>
        </is>
      </c>
      <c r="B12" s="10" t="n">
        <v>88</v>
      </c>
      <c r="C12" s="11" t="n">
        <v>7100000</v>
      </c>
      <c r="D12" s="9" t="inlineStr">
        <is>
          <t>Servo Drive Overheat</t>
        </is>
      </c>
      <c r="E12" s="12" t="n">
        <v>0.039</v>
      </c>
      <c r="F12" s="11" t="n">
        <v>2600000</v>
      </c>
    </row>
    <row r="13">
      <c r="A13" s="13" t="inlineStr">
        <is>
          <t>Line D - Automated Line</t>
        </is>
      </c>
      <c r="B13" s="14" t="n">
        <v>67</v>
      </c>
      <c r="C13" s="15" t="n">
        <v>5700000</v>
      </c>
      <c r="D13" s="13" t="inlineStr">
        <is>
          <t>Conveyor Alignment</t>
        </is>
      </c>
      <c r="E13" s="16" t="n">
        <v>0.035</v>
      </c>
      <c r="F13" s="15" t="n">
        <v>1900000</v>
      </c>
    </row>
    <row r="14">
      <c r="A14" s="17" t="inlineStr">
        <is>
          <t>รวมทั้งสิ้น (Total)</t>
        </is>
      </c>
      <c r="B14" s="18">
        <f>SUM(B10:B13)</f>
        <v/>
      </c>
      <c r="C14" s="19">
        <f>SUM(C10:C13)</f>
        <v/>
      </c>
      <c r="D14" s="20" t="inlineStr">
        <is>
          <t>-</t>
        </is>
      </c>
      <c r="E14" s="21">
        <f>AVERAGE(E10:E13)</f>
        <v/>
      </c>
      <c r="F14" s="19">
        <f>SUM(F10:F13)</f>
        <v/>
      </c>
    </row>
  </sheetData>
  <mergeCells count="12">
    <mergeCell ref="A4:B4"/>
    <mergeCell ref="G4:H4"/>
    <mergeCell ref="E4:F4"/>
    <mergeCell ref="E6:F6"/>
    <mergeCell ref="C6:D6"/>
    <mergeCell ref="C5:D5"/>
    <mergeCell ref="A5:B5"/>
    <mergeCell ref="G5:H5"/>
    <mergeCell ref="E5:F5"/>
    <mergeCell ref="G6:H6"/>
    <mergeCell ref="A6:B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9" customWidth="1" min="1" max="1"/>
    <col width="36" customWidth="1" min="2" max="2"/>
    <col width="33" customWidth="1" min="3" max="3"/>
    <col width="34" customWidth="1" min="4" max="4"/>
  </cols>
  <sheetData>
    <row r="1">
      <c r="A1" s="1" t="inlineStr">
        <is>
          <t>การวิเคราะห์สาเหตุรากเหง้าความเสียหาย (Root Cause Pareto Analysis)</t>
        </is>
      </c>
    </row>
    <row r="2">
      <c r="A2" s="2" t="inlineStr">
        <is>
          <t>การวิเคราะห์สถิติความเสียหายย้อนหลังก่อนติดตั้งระบบ AI</t>
        </is>
      </c>
    </row>
    <row r="3"/>
    <row r="4">
      <c r="A4" s="8" t="inlineStr">
        <is>
          <t>สาเหตุความเสียหาย (Root Cause Failure)</t>
        </is>
      </c>
      <c r="B4" s="8" t="inlineStr">
        <is>
          <t>จำนวนครั้งที่ขัดข้อง (Incidents)</t>
        </is>
      </c>
      <c r="C4" s="8" t="inlineStr">
        <is>
          <t>สัดส่วน (%)</t>
        </is>
      </c>
      <c r="D4" s="8" t="inlineStr">
        <is>
          <t>เปอร์เซ็นต์สะสม (Cumulative %)</t>
        </is>
      </c>
    </row>
    <row r="5">
      <c r="A5" s="13" t="inlineStr">
        <is>
          <t>Bearing Outer Race Wear (ตลับลูกปืนสึก)</t>
        </is>
      </c>
      <c r="B5" s="22" t="n">
        <v>142</v>
      </c>
      <c r="C5" s="16">
        <f>B5/SUM($B$5:$B$9)</f>
        <v/>
      </c>
      <c r="D5" s="16">
        <f>C5</f>
        <v/>
      </c>
    </row>
    <row r="6">
      <c r="A6" s="9" t="inlineStr">
        <is>
          <t>Motor &amp; Drive Overheat (ความร้อนสูง)</t>
        </is>
      </c>
      <c r="B6" s="23" t="n">
        <v>98</v>
      </c>
      <c r="C6" s="12">
        <f>B6/SUM($B$5:$B$9)</f>
        <v/>
      </c>
      <c r="D6" s="12">
        <f>D5+C6</f>
        <v/>
      </c>
    </row>
    <row r="7">
      <c r="A7" s="13" t="inlineStr">
        <is>
          <t>Lubrication Degradation (ระบบหล่อลื่น)</t>
        </is>
      </c>
      <c r="B7" s="22" t="n">
        <v>65</v>
      </c>
      <c r="C7" s="16">
        <f>B7/SUM($B$5:$B$9)</f>
        <v/>
      </c>
      <c r="D7" s="16">
        <f>D6+C7</f>
        <v/>
      </c>
    </row>
    <row r="8">
      <c r="A8" s="9" t="inlineStr">
        <is>
          <t>Hydraulic Pressure Drop (แรงดันตก)</t>
        </is>
      </c>
      <c r="B8" s="23" t="n">
        <v>34</v>
      </c>
      <c r="C8" s="12">
        <f>B8/SUM($B$5:$B$9)</f>
        <v/>
      </c>
      <c r="D8" s="12">
        <f>D7+C8</f>
        <v/>
      </c>
    </row>
    <row r="9">
      <c r="A9" s="13" t="inlineStr">
        <is>
          <t>Shaft &amp; Spindle Misalignment (แกนคลาดเคลื่อน)</t>
        </is>
      </c>
      <c r="B9" s="22" t="n">
        <v>18</v>
      </c>
      <c r="C9" s="16">
        <f>B9/SUM($B$5:$B$9)</f>
        <v/>
      </c>
      <c r="D9" s="16">
        <f>D8+C9</f>
        <v/>
      </c>
    </row>
    <row r="10"/>
    <row r="11"/>
    <row r="12">
      <c r="A12" s="7" t="inlineStr">
        <is>
          <t>ตารางความสัมพันธ์ระหว่างแรงสั่นสะเทือน (Vibration RMS) กับ อัตราของเสีย (Defect Rate)</t>
        </is>
      </c>
    </row>
    <row r="13">
      <c r="A13" s="24" t="inlineStr">
        <is>
          <t>Vibration Velocity (mm/s RMS)</t>
        </is>
      </c>
      <c r="B13" s="24" t="inlineStr">
        <is>
          <t>Defect Rate (%)</t>
        </is>
      </c>
      <c r="C13" s="24" t="inlineStr">
        <is>
          <t>ระดับความเสี่ยง (Risk Status)</t>
        </is>
      </c>
    </row>
    <row r="14">
      <c r="A14" s="25" t="n">
        <v>1</v>
      </c>
      <c r="B14" s="12" t="n">
        <v>0.004</v>
      </c>
      <c r="C14" s="26" t="inlineStr">
        <is>
          <t>ปกติ (Normal)</t>
        </is>
      </c>
    </row>
    <row r="15">
      <c r="A15" s="27" t="n">
        <v>2</v>
      </c>
      <c r="B15" s="16" t="n">
        <v>0.006</v>
      </c>
      <c r="C15" s="26" t="inlineStr">
        <is>
          <t>ปกติ (Normal)</t>
        </is>
      </c>
    </row>
    <row r="16">
      <c r="A16" s="25" t="n">
        <v>3</v>
      </c>
      <c r="B16" s="12" t="n">
        <v>0.008999999999999999</v>
      </c>
      <c r="C16" s="26" t="inlineStr">
        <is>
          <t>ปกติ (Normal)</t>
        </is>
      </c>
    </row>
    <row r="17">
      <c r="A17" s="27" t="n">
        <v>4</v>
      </c>
      <c r="B17" s="16" t="n">
        <v>0.014</v>
      </c>
      <c r="C17" s="28" t="inlineStr">
        <is>
          <t>เฝ้าระวัง (Warning)</t>
        </is>
      </c>
    </row>
    <row r="18">
      <c r="A18" s="25" t="n">
        <v>4.5</v>
      </c>
      <c r="B18" s="12" t="n">
        <v>0.038</v>
      </c>
      <c r="C18" s="28" t="inlineStr">
        <is>
          <t>ความเสี่ยงสูง (High Risk)</t>
        </is>
      </c>
    </row>
    <row r="19">
      <c r="A19" s="27" t="n">
        <v>5</v>
      </c>
      <c r="B19" s="16" t="n">
        <v>0.062</v>
      </c>
      <c r="C19" s="29" t="inlineStr">
        <is>
          <t>วิกฤต (Critical)</t>
        </is>
      </c>
    </row>
    <row r="20">
      <c r="A20" s="25" t="n">
        <v>6</v>
      </c>
      <c r="B20" s="12" t="n">
        <v>0.095</v>
      </c>
      <c r="C20" s="29" t="inlineStr">
        <is>
          <t>วิกฤต (Critical)</t>
        </is>
      </c>
    </row>
    <row r="21">
      <c r="A21" s="27" t="n">
        <v>7</v>
      </c>
      <c r="B21" s="16" t="n">
        <v>0.141</v>
      </c>
      <c r="C21" s="29" t="inlineStr">
        <is>
          <t>วิกฤต (Critical)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4" customWidth="1" min="1" max="1"/>
    <col width="28" customWidth="1" min="2" max="2"/>
    <col width="29" customWidth="1" min="3" max="3"/>
    <col width="24" customWidth="1" min="4" max="4"/>
    <col width="21" customWidth="1" min="5" max="5"/>
    <col width="49" customWidth="1" min="6" max="6"/>
    <col width="21" customWidth="1" min="7" max="7"/>
  </cols>
  <sheetData>
    <row r="1">
      <c r="A1" s="1" t="inlineStr">
        <is>
          <t>ประสิทธิภาพโมเดลปัญญาประดิษฐ์และสัญญาณเซนเซอร์ (AI Engine &amp; Telemetry)</t>
        </is>
      </c>
    </row>
    <row r="2">
      <c r="A2" s="2" t="inlineStr">
        <is>
          <t>เมตริกวัดประสิทธิภาพ AI Models และข้อมูลตัวอย่าง Telemetry จาก Edge Gateway</t>
        </is>
      </c>
    </row>
    <row r="3"/>
    <row r="4">
      <c r="A4" s="7" t="inlineStr">
        <is>
          <t>1. ประสิทธิภาพของ AI Models ที่ติดตั้งใช้งานจริง (Deployed Industrial AI Models)</t>
        </is>
      </c>
    </row>
    <row r="5">
      <c r="A5" s="8" t="inlineStr">
        <is>
          <t>ชื่อโมเดล (AI Model Name)</t>
        </is>
      </c>
      <c r="B5" s="8" t="inlineStr">
        <is>
          <t>เทคโนโลยี (Architecture)</t>
        </is>
      </c>
      <c r="C5" s="8" t="inlineStr">
        <is>
          <t>ความถูกต้อง (Accuracy)</t>
        </is>
      </c>
      <c r="D5" s="8" t="inlineStr">
        <is>
          <t>Precision / Recall</t>
        </is>
      </c>
      <c r="E5" s="8" t="inlineStr">
        <is>
          <t>Latency (ms)</t>
        </is>
      </c>
      <c r="F5" s="8" t="inlineStr">
        <is>
          <t>เป้าหมายการตรวจจับ (Target Task)</t>
        </is>
      </c>
    </row>
    <row r="6">
      <c r="A6" s="9" t="inlineStr">
        <is>
          <t>Vibration Anomaly Detector</t>
        </is>
      </c>
      <c r="B6" s="9" t="inlineStr">
        <is>
          <t>LSTM Autoencoder</t>
        </is>
      </c>
      <c r="C6" s="12" t="n">
        <v>0.984</v>
      </c>
      <c r="D6" s="30" t="inlineStr">
        <is>
          <t>97.2% Recall</t>
        </is>
      </c>
      <c r="E6" s="31" t="n">
        <v>12</v>
      </c>
      <c r="F6" s="9" t="inlineStr">
        <is>
          <t>ตรวจจับคลื่นความถี่ผิดปกติของตลับลูกปืน</t>
        </is>
      </c>
    </row>
    <row r="7">
      <c r="A7" s="13" t="inlineStr">
        <is>
          <t>Remaining Useful Life (RUL)</t>
        </is>
      </c>
      <c r="B7" s="13" t="inlineStr">
        <is>
          <t>XGBoost Classifier</t>
        </is>
      </c>
      <c r="C7" s="16" t="n">
        <v>0.958</v>
      </c>
      <c r="D7" s="32" t="inlineStr">
        <is>
          <t>96.1% Precision</t>
        </is>
      </c>
      <c r="E7" s="33" t="n">
        <v>8</v>
      </c>
      <c r="F7" s="13" t="inlineStr">
        <is>
          <t>ทำนายจำนวนวันที่เหลือประเมินการเสื่อมสภาพ</t>
        </is>
      </c>
    </row>
    <row r="8">
      <c r="A8" s="9" t="inlineStr">
        <is>
          <t>Surface Defect Quality Inspection</t>
        </is>
      </c>
      <c r="B8" s="9" t="inlineStr">
        <is>
          <t>YOLOv8 Vision AI</t>
        </is>
      </c>
      <c r="C8" s="12" t="n">
        <v>0.991</v>
      </c>
      <c r="D8" s="30" t="inlineStr">
        <is>
          <t>98.8% Precision</t>
        </is>
      </c>
      <c r="E8" s="31" t="n">
        <v>24</v>
      </c>
      <c r="F8" s="9" t="inlineStr">
        <is>
          <t>สแกนรอยร้าวและจุดบกพร่องบนพื้นผิวชิ้นงาน</t>
        </is>
      </c>
    </row>
    <row r="9">
      <c r="A9" s="13" t="inlineStr">
        <is>
          <t>Acoustic Sound Wear Analysis</t>
        </is>
      </c>
      <c r="B9" s="13" t="inlineStr">
        <is>
          <t>Acoustic 1D-CNN</t>
        </is>
      </c>
      <c r="C9" s="16" t="n">
        <v>0.9419999999999999</v>
      </c>
      <c r="D9" s="32" t="inlineStr">
        <is>
          <t>93.5% Recall</t>
        </is>
      </c>
      <c r="E9" s="33" t="n">
        <v>15</v>
      </c>
      <c r="F9" s="13" t="inlineStr">
        <is>
          <t>วิเคราะห์คลื่นเสียงย่านความถี่สูงของชุดเกียร์</t>
        </is>
      </c>
    </row>
    <row r="10"/>
    <row r="11"/>
    <row r="12">
      <c r="A12" s="7" t="inlineStr">
        <is>
          <t>2. ข้อมูลตัวอย่างเซนเซอร์ Telemetry สดจากเครื่องจักร (Live Telemetry Log Sample)</t>
        </is>
      </c>
    </row>
    <row r="13">
      <c r="A13" s="24" t="inlineStr">
        <is>
          <t>Timestamp</t>
        </is>
      </c>
      <c r="B13" s="24" t="inlineStr">
        <is>
          <t>Machine ID</t>
        </is>
      </c>
      <c r="C13" s="24" t="inlineStr">
        <is>
          <t>Line Name</t>
        </is>
      </c>
      <c r="D13" s="24" t="inlineStr">
        <is>
          <t>Vibration RMS (mm/s)</t>
        </is>
      </c>
      <c r="E13" s="24" t="inlineStr">
        <is>
          <t>Bearing Temp (°C)</t>
        </is>
      </c>
      <c r="F13" s="24" t="inlineStr">
        <is>
          <t>AI Anomaly Score</t>
        </is>
      </c>
      <c r="G13" s="24" t="inlineStr">
        <is>
          <t>Status Flag</t>
        </is>
      </c>
    </row>
    <row r="14">
      <c r="A14" s="30" t="inlineStr">
        <is>
          <t>2026-10-05 14:30:01</t>
        </is>
      </c>
      <c r="B14" s="9" t="inlineStr">
        <is>
          <t>RY-CNC-004</t>
        </is>
      </c>
      <c r="C14" s="9" t="inlineStr">
        <is>
          <t>Line B (CNC Milling)</t>
        </is>
      </c>
      <c r="D14" s="34" t="n">
        <v>4.85</v>
      </c>
      <c r="E14" s="34" t="n">
        <v>68.2</v>
      </c>
      <c r="F14" s="34" t="n">
        <v>0.92</v>
      </c>
      <c r="G14" s="35" t="inlineStr">
        <is>
          <t>ANOMALY DETECTED</t>
        </is>
      </c>
    </row>
    <row r="15">
      <c r="A15" s="32" t="inlineStr">
        <is>
          <t>2026-10-05 14:30:01</t>
        </is>
      </c>
      <c r="B15" s="13" t="inlineStr">
        <is>
          <t>CB-ROB-012</t>
        </is>
      </c>
      <c r="C15" s="13" t="inlineStr">
        <is>
          <t>Line C (Robotic Assembly)</t>
        </is>
      </c>
      <c r="D15" s="36" t="n">
        <v>2.1</v>
      </c>
      <c r="E15" s="36" t="n">
        <v>74.5</v>
      </c>
      <c r="F15" s="36" t="n">
        <v>0.88</v>
      </c>
      <c r="G15" s="35" t="inlineStr">
        <is>
          <t>HIGH TEMP WARNING</t>
        </is>
      </c>
    </row>
    <row r="16">
      <c r="A16" s="30" t="inlineStr">
        <is>
          <t>2026-10-05 14:30:01</t>
        </is>
      </c>
      <c r="B16" s="9" t="inlineStr">
        <is>
          <t>AY-PRS-001</t>
        </is>
      </c>
      <c r="C16" s="9" t="inlineStr">
        <is>
          <t>Line A (Press Stamping)</t>
        </is>
      </c>
      <c r="D16" s="34" t="n">
        <v>3.4</v>
      </c>
      <c r="E16" s="34" t="n">
        <v>52.1</v>
      </c>
      <c r="F16" s="34" t="n">
        <v>0.76</v>
      </c>
      <c r="G16" s="37" t="inlineStr">
        <is>
          <t>PRESSURE DRIFT</t>
        </is>
      </c>
    </row>
    <row r="17">
      <c r="A17" s="32" t="inlineStr">
        <is>
          <t>2026-10-05 14:30:01</t>
        </is>
      </c>
      <c r="B17" s="13" t="inlineStr">
        <is>
          <t>SP-CNC-008</t>
        </is>
      </c>
      <c r="C17" s="13" t="inlineStr">
        <is>
          <t>Line B (CNC Milling)</t>
        </is>
      </c>
      <c r="D17" s="36" t="n">
        <v>1.45</v>
      </c>
      <c r="E17" s="36" t="n">
        <v>41</v>
      </c>
      <c r="F17" s="36" t="n">
        <v>0.12</v>
      </c>
      <c r="G17" s="38" t="inlineStr">
        <is>
          <t>NORMAL</t>
        </is>
      </c>
    </row>
    <row r="18">
      <c r="A18" s="30" t="inlineStr">
        <is>
          <t>2026-10-05 14:30:01</t>
        </is>
      </c>
      <c r="B18" s="9" t="inlineStr">
        <is>
          <t>RY-ASM-005</t>
        </is>
      </c>
      <c r="C18" s="9" t="inlineStr">
        <is>
          <t>Line D (Automated Line)</t>
        </is>
      </c>
      <c r="D18" s="34" t="n">
        <v>2.8</v>
      </c>
      <c r="E18" s="34" t="n">
        <v>48.3</v>
      </c>
      <c r="F18" s="34" t="n">
        <v>0.54</v>
      </c>
      <c r="G18" s="37" t="inlineStr">
        <is>
          <t>MONITORING</t>
        </is>
      </c>
    </row>
    <row r="19">
      <c r="A19" s="32" t="inlineStr">
        <is>
          <t>2026-10-05 14:30:01</t>
        </is>
      </c>
      <c r="B19" s="13" t="inlineStr">
        <is>
          <t>CB-PRS-003</t>
        </is>
      </c>
      <c r="C19" s="13" t="inlineStr">
        <is>
          <t>Line A (Press Stamping)</t>
        </is>
      </c>
      <c r="D19" s="36" t="n">
        <v>1.95</v>
      </c>
      <c r="E19" s="36" t="n">
        <v>43.8</v>
      </c>
      <c r="F19" s="36" t="n">
        <v>0.48</v>
      </c>
      <c r="G19" s="38" t="inlineStr">
        <is>
          <t>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20" customWidth="1" min="2" max="2"/>
    <col width="29" customWidth="1" min="3" max="3"/>
    <col width="29" customWidth="1" min="4" max="4"/>
    <col width="33" customWidth="1" min="5" max="5"/>
    <col width="17" customWidth="1" min="6" max="6"/>
    <col width="19" customWidth="1" min="7" max="7"/>
    <col width="53" customWidth="1" min="8" max="8"/>
    <col width="23" customWidth="1" min="9" max="9"/>
    <col width="46" customWidth="1" min="10" max="10"/>
  </cols>
  <sheetData>
    <row r="1">
      <c r="A1" s="1" t="inlineStr">
        <is>
          <t>บันทึกรายการแจ้งเตือนจุดเสี่ยงและการซ่อมบำรุงเชิงรุก (Active Risk Alert Log)</t>
        </is>
      </c>
    </row>
    <row r="2">
      <c r="A2" s="2" t="inlineStr">
        <is>
          <t>รายการแจ้งเตือนสภาวะผิดปกติจากระบบ AI พร้อมแผนปฏิบัติตามมาตรฐาน SOP</t>
        </is>
      </c>
    </row>
    <row r="3"/>
    <row r="4">
      <c r="A4" s="8" t="inlineStr">
        <is>
          <t>Alert ID</t>
        </is>
      </c>
      <c r="B4" s="8" t="inlineStr">
        <is>
          <t>เวลา (Timestamp)</t>
        </is>
      </c>
      <c r="C4" s="8" t="inlineStr">
        <is>
          <t>รหัสเครื่องจักร (Machine)</t>
        </is>
      </c>
      <c r="D4" s="8" t="inlineStr">
        <is>
          <t>สายการผลิต (Line)</t>
        </is>
      </c>
      <c r="E4" s="8" t="inlineStr">
        <is>
          <t>อาการที่ตรวจพบ (Failure Mode)</t>
        </is>
      </c>
      <c r="F4" s="8" t="inlineStr">
        <is>
          <t>Anomaly Score</t>
        </is>
      </c>
      <c r="G4" s="8" t="inlineStr">
        <is>
          <t>ระดับความเสี่ยง</t>
        </is>
      </c>
      <c r="H4" s="8" t="inlineStr">
        <is>
          <t>ข้อเสนอแนะแก้ไข (SOP Action)</t>
        </is>
      </c>
      <c r="I4" s="8" t="inlineStr">
        <is>
          <t>สถานะใบงาน (Status)</t>
        </is>
      </c>
      <c r="J4" s="8" t="inlineStr">
        <is>
          <t>อะไหล่สำรองที่ต้องเตรียม</t>
        </is>
      </c>
    </row>
    <row r="5">
      <c r="A5" s="32" t="inlineStr">
        <is>
          <t>ALT-9021</t>
        </is>
      </c>
      <c r="B5" s="32" t="inlineStr">
        <is>
          <t>14:28:10</t>
        </is>
      </c>
      <c r="C5" s="13" t="inlineStr">
        <is>
          <t>RY-CNC-004</t>
        </is>
      </c>
      <c r="D5" s="13" t="inlineStr">
        <is>
          <t>Line B (CNC Milling)</t>
        </is>
      </c>
      <c r="E5" s="13" t="inlineStr">
        <is>
          <t>Bearing Outer Race Wear</t>
        </is>
      </c>
      <c r="F5" s="36" t="n">
        <v>0.92</v>
      </c>
      <c r="G5" s="35" t="inlineStr">
        <is>
          <t>CRITICAL</t>
        </is>
      </c>
      <c r="H5" s="13" t="inlineStr">
        <is>
          <t>เปลี่ยน SKF 6208 Bearing ด่วนภายใน 24 ชม.</t>
        </is>
      </c>
      <c r="I5" s="13" t="inlineStr">
        <is>
          <t>Work Order #4082</t>
        </is>
      </c>
      <c r="J5" s="13" t="inlineStr">
        <is>
          <t>SKF 6208 Deep Groove Ball Bearing (Qty: 2)</t>
        </is>
      </c>
    </row>
    <row r="6">
      <c r="A6" s="30" t="inlineStr">
        <is>
          <t>ALT-9022</t>
        </is>
      </c>
      <c r="B6" s="30" t="inlineStr">
        <is>
          <t>13:15:42</t>
        </is>
      </c>
      <c r="C6" s="9" t="inlineStr">
        <is>
          <t>CB-ROB-012</t>
        </is>
      </c>
      <c r="D6" s="9" t="inlineStr">
        <is>
          <t>Line C (Robotic Assembly)</t>
        </is>
      </c>
      <c r="E6" s="9" t="inlineStr">
        <is>
          <t>Servo Motor Overheat</t>
        </is>
      </c>
      <c r="F6" s="34" t="n">
        <v>0.88</v>
      </c>
      <c r="G6" s="35" t="inlineStr">
        <is>
          <t>CRITICAL</t>
        </is>
      </c>
      <c r="H6" s="9" t="inlineStr">
        <is>
          <t>ตรวจสอบระบบระบายความร้อนและล้างกรองฝุ่น</t>
        </is>
      </c>
      <c r="I6" s="9" t="inlineStr">
        <is>
          <t>In Progress</t>
        </is>
      </c>
      <c r="J6" s="9" t="inlineStr">
        <is>
          <t>Cooling Fan Assembly #F-220 (Qty: 1)</t>
        </is>
      </c>
    </row>
    <row r="7">
      <c r="A7" s="32" t="inlineStr">
        <is>
          <t>ALT-9023</t>
        </is>
      </c>
      <c r="B7" s="32" t="inlineStr">
        <is>
          <t>11:40:05</t>
        </is>
      </c>
      <c r="C7" s="13" t="inlineStr">
        <is>
          <t>AY-PRS-001</t>
        </is>
      </c>
      <c r="D7" s="13" t="inlineStr">
        <is>
          <t>Line A (Press Stamping)</t>
        </is>
      </c>
      <c r="E7" s="13" t="inlineStr">
        <is>
          <t>Hydraulic Pressure Drift</t>
        </is>
      </c>
      <c r="F7" s="36" t="n">
        <v>0.76</v>
      </c>
      <c r="G7" s="37" t="inlineStr">
        <is>
          <t>HIGH</t>
        </is>
      </c>
      <c r="H7" s="13" t="inlineStr">
        <is>
          <t>ปรับ Calibration วาล์วแรงดันและเช็คน้ำมันหล่อลื่น</t>
        </is>
      </c>
      <c r="I7" s="13" t="inlineStr">
        <is>
          <t>Acknowledged</t>
        </is>
      </c>
      <c r="J7" s="13" t="inlineStr">
        <is>
          <t>Hydraulic Seal Kit #HS-90 (Qty: 1)</t>
        </is>
      </c>
    </row>
    <row r="8">
      <c r="A8" s="30" t="inlineStr">
        <is>
          <t>ALT-9024</t>
        </is>
      </c>
      <c r="B8" s="30" t="inlineStr">
        <is>
          <t>09:05:18</t>
        </is>
      </c>
      <c r="C8" s="9" t="inlineStr">
        <is>
          <t>SP-CNC-008</t>
        </is>
      </c>
      <c r="D8" s="9" t="inlineStr">
        <is>
          <t>Line B (CNC Milling)</t>
        </is>
      </c>
      <c r="E8" s="9" t="inlineStr">
        <is>
          <t>Spindle Misalignment</t>
        </is>
      </c>
      <c r="F8" s="34" t="n">
        <v>0.72</v>
      </c>
      <c r="G8" s="37" t="inlineStr">
        <is>
          <t>HIGH</t>
        </is>
      </c>
      <c r="H8" s="9" t="inlineStr">
        <is>
          <t>ทำการ Laser Alignment ตรวจวัดแนวแกน</t>
        </is>
      </c>
      <c r="I8" s="9" t="inlineStr">
        <is>
          <t>Scheduled</t>
        </is>
      </c>
      <c r="J8" s="9" t="inlineStr">
        <is>
          <t>Alignment Shim Set (Qty: 1)</t>
        </is>
      </c>
    </row>
    <row r="9">
      <c r="A9" s="32" t="inlineStr">
        <is>
          <t>ALT-9025</t>
        </is>
      </c>
      <c r="B9" s="32" t="inlineStr">
        <is>
          <t>08:12:00</t>
        </is>
      </c>
      <c r="C9" s="13" t="inlineStr">
        <is>
          <t>RY-ASM-005</t>
        </is>
      </c>
      <c r="D9" s="13" t="inlineStr">
        <is>
          <t>Line D (Automated Line)</t>
        </is>
      </c>
      <c r="E9" s="13" t="inlineStr">
        <is>
          <t>Conveyor Motor Noise</t>
        </is>
      </c>
      <c r="F9" s="36" t="n">
        <v>0.54</v>
      </c>
      <c r="G9" s="39" t="inlineStr">
        <is>
          <t>MEDIUM</t>
        </is>
      </c>
      <c r="H9" s="13" t="inlineStr">
        <is>
          <t>อัดอัดจารบีเพิ่มการหล่อลื่นจุดหมุน</t>
        </is>
      </c>
      <c r="I9" s="13" t="inlineStr">
        <is>
          <t>Work Order #4079</t>
        </is>
      </c>
      <c r="J9" s="13" t="inlineStr">
        <is>
          <t>High-Temp Synthetic Grease (Qty: 1)</t>
        </is>
      </c>
    </row>
    <row r="10">
      <c r="A10" s="30" t="inlineStr">
        <is>
          <t>ALT-9026</t>
        </is>
      </c>
      <c r="B10" s="30" t="inlineStr">
        <is>
          <t>07:45:22</t>
        </is>
      </c>
      <c r="C10" s="9" t="inlineStr">
        <is>
          <t>CB-PRS-003</t>
        </is>
      </c>
      <c r="D10" s="9" t="inlineStr">
        <is>
          <t>Line A (Press Stamping)</t>
        </is>
      </c>
      <c r="E10" s="9" t="inlineStr">
        <is>
          <t>Minor Vibration Peak</t>
        </is>
      </c>
      <c r="F10" s="34" t="n">
        <v>0.48</v>
      </c>
      <c r="G10" s="39" t="inlineStr">
        <is>
          <t>MEDIUM</t>
        </is>
      </c>
      <c r="H10" s="9" t="inlineStr">
        <is>
          <t>เฝ้าระวังแนวโน้มสัปดาห์หน้า</t>
        </is>
      </c>
      <c r="I10" s="9" t="inlineStr">
        <is>
          <t>Monitoring</t>
        </is>
      </c>
      <c r="J10" s="9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70" customWidth="1" min="1" max="1"/>
    <col width="25" customWidth="1" min="2" max="2"/>
    <col width="57" customWidth="1" min="3" max="3"/>
    <col width="29" customWidth="1" min="4" max="4"/>
    <col width="30" customWidth="1" min="5" max="5"/>
    <col width="26" customWidth="1" min="6" max="6"/>
    <col width="25" customWidth="1" min="7" max="7"/>
  </cols>
  <sheetData>
    <row r="1">
      <c r="A1" s="1" t="inlineStr">
        <is>
          <t>แบบจำลองทางการเงินและการคืนทุน (5-Year Financial ROI Model)</t>
        </is>
      </c>
    </row>
    <row r="2">
      <c r="A2" s="2" t="inlineStr">
        <is>
          <t>ประมาณการกระแสเงินสดและผลประโยชน์ตอบแทนจากการลงทุน Predictive AI</t>
        </is>
      </c>
    </row>
    <row r="3"/>
    <row r="4">
      <c r="A4" s="7" t="inlineStr">
        <is>
          <t>สมมติฐานการคำนวณ (Key Assumptions)</t>
        </is>
      </c>
    </row>
    <row r="5">
      <c r="A5" s="40" t="inlineStr">
        <is>
          <t>เงินลงทุนเริ่มต้น (CapEx)</t>
        </is>
      </c>
      <c r="B5" s="41" t="n">
        <v>8500000</v>
      </c>
      <c r="C5" s="42" t="inlineStr">
        <is>
          <t>บาท (รวม Hardware, Sensors, License &amp; Implementation)</t>
        </is>
      </c>
    </row>
    <row r="6">
      <c r="A6" s="40" t="inlineStr">
        <is>
          <t>เป้าหมายลดเวลา Downtime</t>
        </is>
      </c>
      <c r="B6" s="43" t="n">
        <v>0.75</v>
      </c>
      <c r="C6" s="42" t="inlineStr">
        <is>
          <t>75% Reduction in Unplanned Downtime</t>
        </is>
      </c>
    </row>
    <row r="7">
      <c r="A7" s="40" t="inlineStr">
        <is>
          <t>ลดค่าใช้จ่ายซ่อมบำรุง (Maintenance Cost Red.)</t>
        </is>
      </c>
      <c r="B7" s="43" t="n">
        <v>0.35</v>
      </c>
      <c r="C7" s="42" t="inlineStr">
        <is>
          <t>35% Reduction in Emergency Maintenance Cost</t>
        </is>
      </c>
    </row>
    <row r="8">
      <c r="A8" s="40" t="inlineStr">
        <is>
          <t>เพิ่ม Yield / ลดของเสีย (Defect Reduction)</t>
        </is>
      </c>
      <c r="B8" s="43" t="n">
        <v>0.025</v>
      </c>
      <c r="C8" s="42" t="inlineStr">
        <is>
          <t>2.5% Yield Improvement</t>
        </is>
      </c>
    </row>
    <row r="9">
      <c r="A9" s="40" t="inlineStr">
        <is>
          <t>อัตรา คิดลดทางการเงิน (WACC / Discount Rate)</t>
        </is>
      </c>
      <c r="B9" s="43" t="n">
        <v>0.1</v>
      </c>
      <c r="C9" s="42" t="inlineStr">
        <is>
          <t>10% WACC</t>
        </is>
      </c>
    </row>
    <row r="10"/>
    <row r="11"/>
    <row r="12">
      <c r="A12" s="7" t="inlineStr">
        <is>
          <t>ประมาณการกระแสเงินสดรายปี (Annual Cumulative Cash Flow Projection)</t>
        </is>
      </c>
    </row>
    <row r="13">
      <c r="A13" s="8" t="inlineStr">
        <is>
          <t>ปีที่ (Year)</t>
        </is>
      </c>
      <c r="B13" s="8" t="inlineStr">
        <is>
          <t>เงินลงทุน CapEx (บาท)</t>
        </is>
      </c>
      <c r="C13" s="8" t="inlineStr">
        <is>
          <t>ประหยัดค่า Downtime (บาท)</t>
        </is>
      </c>
      <c r="D13" s="8" t="inlineStr">
        <is>
          <t>ประหยัดค่าซ่อมบำรุง (บาท)</t>
        </is>
      </c>
      <c r="E13" s="8" t="inlineStr">
        <is>
          <t>เพิ่มรายได้จาก Yield (บาท)</t>
        </is>
      </c>
      <c r="F13" s="8" t="inlineStr">
        <is>
          <t>กระแสเงินสดสุทธิ (บาท)</t>
        </is>
      </c>
      <c r="G13" s="8" t="inlineStr">
        <is>
          <t>กระแสเงินสดสะสม (บาท)</t>
        </is>
      </c>
    </row>
    <row r="14">
      <c r="A14" s="9" t="inlineStr">
        <is>
          <t>Year 0 (CapEx)</t>
        </is>
      </c>
      <c r="B14" s="11" t="n">
        <v>-8500000</v>
      </c>
      <c r="C14" s="11" t="n">
        <v>0</v>
      </c>
      <c r="D14" s="11" t="n">
        <v>0</v>
      </c>
      <c r="E14" s="11" t="n">
        <v>0</v>
      </c>
      <c r="F14" s="11">
        <f>-B14</f>
        <v/>
      </c>
      <c r="G14" s="11">
        <f>F14</f>
        <v/>
      </c>
    </row>
    <row r="15">
      <c r="A15" s="13" t="inlineStr">
        <is>
          <t>Year 1</t>
        </is>
      </c>
      <c r="B15" s="15" t="n">
        <v>0</v>
      </c>
      <c r="C15" s="15" t="n">
        <v>18500000</v>
      </c>
      <c r="D15" s="15" t="n">
        <v>4935000</v>
      </c>
      <c r="E15" s="15" t="n">
        <v>5440000</v>
      </c>
      <c r="F15" s="15">
        <f>SUM(C15:E15)</f>
        <v/>
      </c>
      <c r="G15" s="15">
        <f>G14+F15</f>
        <v/>
      </c>
    </row>
    <row r="16">
      <c r="A16" s="9" t="inlineStr">
        <is>
          <t>Year 2</t>
        </is>
      </c>
      <c r="B16" s="11" t="n">
        <v>0</v>
      </c>
      <c r="C16" s="11" t="n">
        <v>19800000</v>
      </c>
      <c r="D16" s="11" t="n">
        <v>5300000</v>
      </c>
      <c r="E16" s="11" t="n">
        <v>6100000</v>
      </c>
      <c r="F16" s="11">
        <f>SUM(C16:E16)</f>
        <v/>
      </c>
      <c r="G16" s="11">
        <f>G15+F16</f>
        <v/>
      </c>
    </row>
    <row r="17">
      <c r="A17" s="13" t="inlineStr">
        <is>
          <t>Year 3</t>
        </is>
      </c>
      <c r="B17" s="15" t="n">
        <v>0</v>
      </c>
      <c r="C17" s="15" t="n">
        <v>21000000</v>
      </c>
      <c r="D17" s="15" t="n">
        <v>5700000</v>
      </c>
      <c r="E17" s="15" t="n">
        <v>6800000</v>
      </c>
      <c r="F17" s="15">
        <f>SUM(C17:E17)</f>
        <v/>
      </c>
      <c r="G17" s="15">
        <f>G16+F17</f>
        <v/>
      </c>
    </row>
    <row r="18">
      <c r="A18" s="9" t="inlineStr">
        <is>
          <t>Year 4</t>
        </is>
      </c>
      <c r="B18" s="11" t="n">
        <v>0</v>
      </c>
      <c r="C18" s="11" t="n">
        <v>22000000</v>
      </c>
      <c r="D18" s="11" t="n">
        <v>6000000</v>
      </c>
      <c r="E18" s="11" t="n">
        <v>7000000</v>
      </c>
      <c r="F18" s="11">
        <f>SUM(C18:E18)</f>
        <v/>
      </c>
      <c r="G18" s="11">
        <f>G17+F18</f>
        <v/>
      </c>
    </row>
    <row r="19">
      <c r="A19" s="13" t="inlineStr">
        <is>
          <t>Year 5</t>
        </is>
      </c>
      <c r="B19" s="15" t="n">
        <v>0</v>
      </c>
      <c r="C19" s="15" t="n">
        <v>23500000</v>
      </c>
      <c r="D19" s="15" t="n">
        <v>6500000</v>
      </c>
      <c r="E19" s="15" t="n">
        <v>8000000</v>
      </c>
      <c r="F19" s="15">
        <f>SUM(C19:E19)</f>
        <v/>
      </c>
      <c r="G19" s="15">
        <f>G18+F19</f>
        <v/>
      </c>
    </row>
    <row r="20"/>
    <row r="21"/>
    <row r="22">
      <c r="A22" s="7" t="inlineStr">
        <is>
          <t>สรุปดัชนีผลตอบแทนทางการเงิน (Financial Returns Summary)</t>
        </is>
      </c>
    </row>
    <row r="23">
      <c r="A23" s="44" t="inlineStr">
        <is>
          <t>ระยะเวลาคืนทุน (Payback Period)</t>
        </is>
      </c>
      <c r="B23" s="45" t="inlineStr">
        <is>
          <t>8.5 เดือน</t>
        </is>
      </c>
    </row>
    <row r="24">
      <c r="A24" s="44" t="inlineStr">
        <is>
          <t>มูลค่าปัจจุบันสุทธิ (NPV @ 10%)</t>
        </is>
      </c>
      <c r="B24" s="45" t="inlineStr">
        <is>
          <t>43,400,000 ฿</t>
        </is>
      </c>
    </row>
    <row r="25">
      <c r="A25" s="44" t="inlineStr">
        <is>
          <t>อัตราผลตอบแทนจากการลงทุน (IRR)</t>
        </is>
      </c>
      <c r="B25" s="45" t="inlineStr">
        <is>
          <t>68.4%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2" customWidth="1" min="1" max="1"/>
    <col width="22" customWidth="1" min="2" max="2"/>
    <col width="25" customWidth="1" min="3" max="3"/>
    <col width="29" customWidth="1" min="4" max="4"/>
    <col width="21" customWidth="1" min="5" max="5"/>
    <col width="22" customWidth="1" min="6" max="6"/>
    <col width="39" customWidth="1" min="7" max="7"/>
  </cols>
  <sheetData>
    <row r="1">
      <c r="A1" s="1" t="inlineStr">
        <is>
          <t>แผนงานขยายผลระดับองค์กร 8 ศูนย์โรงงาน (Multi-Site Expansion Roadmap)</t>
        </is>
      </c>
    </row>
    <row r="2">
      <c r="A2" s="2" t="inlineStr">
        <is>
          <t>สถานะการเชื่อมต่อเครื่องจักร Fleet Health และกำหนดการดำเนินงาน</t>
        </is>
      </c>
    </row>
    <row r="3"/>
    <row r="4">
      <c r="A4" s="8" t="inlineStr">
        <is>
          <t>ชื่อศูนย์โรงงาน (Factory Site)</t>
        </is>
      </c>
      <c r="B4" s="8" t="inlineStr">
        <is>
          <t>ภูมิภาค (Location)</t>
        </is>
      </c>
      <c r="C4" s="8" t="inlineStr">
        <is>
          <t>สถานะโครงการ (Status)</t>
        </is>
      </c>
      <c r="D4" s="8" t="inlineStr">
        <is>
          <t>จำนวนเครื่องจักรเชื่อมต่อ</t>
        </is>
      </c>
      <c r="E4" s="8" t="inlineStr">
        <is>
          <t>System Uptime (%)</t>
        </is>
      </c>
      <c r="F4" s="8" t="inlineStr">
        <is>
          <t>Fleet Health Score</t>
        </is>
      </c>
      <c r="G4" s="8" t="inlineStr">
        <is>
          <t>กำหนดเปิดใช้งาน (Target Completion)</t>
        </is>
      </c>
    </row>
    <row r="5">
      <c r="A5" s="13" t="inlineStr">
        <is>
          <t>โรงงานระยอง (Rayong Main)</t>
        </is>
      </c>
      <c r="B5" s="13" t="inlineStr">
        <is>
          <t>ระยอง</t>
        </is>
      </c>
      <c r="C5" s="38" t="inlineStr">
        <is>
          <t>LIVE</t>
        </is>
      </c>
      <c r="D5" s="46" t="n">
        <v>42</v>
      </c>
      <c r="E5" s="16" t="n">
        <v>0.998</v>
      </c>
      <c r="F5" s="47" t="n">
        <v>92</v>
      </c>
      <c r="G5" s="13" t="inlineStr">
        <is>
          <t>Q1 2026 (Active)</t>
        </is>
      </c>
    </row>
    <row r="6">
      <c r="A6" s="9" t="inlineStr">
        <is>
          <t>โรงงานชลบุรี (Chonburi Auto)</t>
        </is>
      </c>
      <c r="B6" s="9" t="inlineStr">
        <is>
          <t>ชลบุรี</t>
        </is>
      </c>
      <c r="C6" s="38" t="inlineStr">
        <is>
          <t>LIVE</t>
        </is>
      </c>
      <c r="D6" s="48" t="n">
        <v>38</v>
      </c>
      <c r="E6" s="12" t="n">
        <v>0.996</v>
      </c>
      <c r="F6" s="49" t="n">
        <v>89</v>
      </c>
      <c r="G6" s="9" t="inlineStr">
        <is>
          <t>Q2 2026 (Active)</t>
        </is>
      </c>
    </row>
    <row r="7">
      <c r="A7" s="13" t="inlineStr">
        <is>
          <t>โรงงานอยุธยา (Ayutthaya High-Tech)</t>
        </is>
      </c>
      <c r="B7" s="13" t="inlineStr">
        <is>
          <t>อยุธยา</t>
        </is>
      </c>
      <c r="C7" s="38" t="inlineStr">
        <is>
          <t>LIVE</t>
        </is>
      </c>
      <c r="D7" s="46" t="n">
        <v>28</v>
      </c>
      <c r="E7" s="16" t="n">
        <v>0.997</v>
      </c>
      <c r="F7" s="47" t="n">
        <v>94</v>
      </c>
      <c r="G7" s="13" t="inlineStr">
        <is>
          <t>Q3 2026 (Active)</t>
        </is>
      </c>
    </row>
    <row r="8">
      <c r="A8" s="9" t="inlineStr">
        <is>
          <t>โรงงานสมุทรปราการ</t>
        </is>
      </c>
      <c r="B8" s="9" t="inlineStr">
        <is>
          <t>สมุทรปราการ</t>
        </is>
      </c>
      <c r="C8" s="38" t="inlineStr">
        <is>
          <t>LIVE</t>
        </is>
      </c>
      <c r="D8" s="48" t="n">
        <v>22</v>
      </c>
      <c r="E8" s="12" t="n">
        <v>0.992</v>
      </c>
      <c r="F8" s="49" t="n">
        <v>85</v>
      </c>
      <c r="G8" s="9" t="inlineStr">
        <is>
          <t>Q4 2026 (Active)</t>
        </is>
      </c>
    </row>
    <row r="9">
      <c r="A9" s="13" t="inlineStr">
        <is>
          <t>โรงงานปทุมธานี</t>
        </is>
      </c>
      <c r="B9" s="13" t="inlineStr">
        <is>
          <t>ปทุมธานี</t>
        </is>
      </c>
      <c r="C9" s="37" t="inlineStr">
        <is>
          <t>PHASE 2</t>
        </is>
      </c>
      <c r="D9" s="46" t="n">
        <v>18</v>
      </c>
      <c r="E9" s="32" t="inlineStr">
        <is>
          <t>N/A</t>
        </is>
      </c>
      <c r="F9" s="32" t="inlineStr">
        <is>
          <t>N/A</t>
        </is>
      </c>
      <c r="G9" s="13" t="inlineStr">
        <is>
          <t>Q1 2027</t>
        </is>
      </c>
    </row>
    <row r="10">
      <c r="A10" s="9" t="inlineStr">
        <is>
          <t>โรงงานโคราช Powertrain</t>
        </is>
      </c>
      <c r="B10" s="9" t="inlineStr">
        <is>
          <t>นครราชสีมา</t>
        </is>
      </c>
      <c r="C10" s="37" t="inlineStr">
        <is>
          <t>PHASE 2</t>
        </is>
      </c>
      <c r="D10" s="48" t="n">
        <v>15</v>
      </c>
      <c r="E10" s="30" t="inlineStr">
        <is>
          <t>N/A</t>
        </is>
      </c>
      <c r="F10" s="30" t="inlineStr">
        <is>
          <t>N/A</t>
        </is>
      </c>
      <c r="G10" s="9" t="inlineStr">
        <is>
          <t>Q2 2027</t>
        </is>
      </c>
    </row>
    <row r="11">
      <c r="A11" s="13" t="inlineStr">
        <is>
          <t>โรงงานลำพูน Precision</t>
        </is>
      </c>
      <c r="B11" s="13" t="inlineStr">
        <is>
          <t>ลำพูน</t>
        </is>
      </c>
      <c r="C11" s="39" t="inlineStr">
        <is>
          <t>PLANNED</t>
        </is>
      </c>
      <c r="D11" s="46" t="n">
        <v>12</v>
      </c>
      <c r="E11" s="32" t="inlineStr">
        <is>
          <t>N/A</t>
        </is>
      </c>
      <c r="F11" s="32" t="inlineStr">
        <is>
          <t>N/A</t>
        </is>
      </c>
      <c r="G11" s="13" t="inlineStr">
        <is>
          <t>Q3 2027</t>
        </is>
      </c>
    </row>
    <row r="12">
      <c r="A12" s="9" t="inlineStr">
        <is>
          <t>โรงงานสงขลา Maritime</t>
        </is>
      </c>
      <c r="B12" s="9" t="inlineStr">
        <is>
          <t>สงขลา</t>
        </is>
      </c>
      <c r="C12" s="39" t="inlineStr">
        <is>
          <t>PLANNED</t>
        </is>
      </c>
      <c r="D12" s="48" t="n">
        <v>10</v>
      </c>
      <c r="E12" s="30" t="inlineStr">
        <is>
          <t>N/A</t>
        </is>
      </c>
      <c r="F12" s="30" t="inlineStr">
        <is>
          <t>N/A</t>
        </is>
      </c>
      <c r="G12" s="9" t="inlineStr">
        <is>
          <t>Q4 2027</t>
        </is>
      </c>
    </row>
    <row r="13">
      <c r="A13" s="17" t="inlineStr">
        <is>
          <t>รวมทั้งสิ้น (Total Fleet)</t>
        </is>
      </c>
      <c r="B13" s="44" t="n"/>
      <c r="C13" s="44" t="n"/>
      <c r="D13" s="50">
        <f>SUM(D5:D12)</f>
        <v/>
      </c>
      <c r="E13" s="21">
        <f>AVERAGE(E5:E8)</f>
        <v/>
      </c>
      <c r="F13" s="51">
        <f>AVERAGE(F5:F8)</f>
        <v/>
      </c>
      <c r="G13" s="4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1" customWidth="1" min="1" max="1"/>
    <col width="28" customWidth="1" min="2" max="2"/>
    <col width="24" customWidth="1" min="3" max="3"/>
    <col width="64" customWidth="1" min="4" max="4"/>
    <col width="32" customWidth="1" min="5" max="5"/>
    <col width="39" customWidth="1" min="6" max="6"/>
  </cols>
  <sheetData>
    <row r="1">
      <c r="A1" s="1" t="inlineStr">
        <is>
          <t>พจนานุกรมข้อมูล คลังข้อมูลอุตสาหกรรม (Industrial Data Warehouse Schema)</t>
        </is>
      </c>
    </row>
    <row r="2">
      <c r="A2" s="2" t="inlineStr">
        <is>
          <t>โครงสร้างตารางข้อมูล สถาปัตยกรรมจัดเก็บ (TimescaleDB / ClickHouse) และ นโยบาย Retention</t>
        </is>
      </c>
    </row>
    <row r="3"/>
    <row r="4">
      <c r="A4" s="8" t="inlineStr">
        <is>
          <t>ชื่อฟิลด์ (Column Name)</t>
        </is>
      </c>
      <c r="B4" s="8" t="inlineStr">
        <is>
          <t>ประเภทข้อมูล (Data Type)</t>
        </is>
      </c>
      <c r="C4" s="8" t="inlineStr">
        <is>
          <t>ตารางหลัก (Table)</t>
        </is>
      </c>
      <c r="D4" s="8" t="inlineStr">
        <is>
          <t>คำอธิบายรายละเอียด (Description)</t>
        </is>
      </c>
      <c r="E4" s="8" t="inlineStr">
        <is>
          <t>ตัวอย่างข้อมูล (Sample Data)</t>
        </is>
      </c>
      <c r="F4" s="8" t="inlineStr">
        <is>
          <t>นโยบายจัดเก็บ (Retention Policy)</t>
        </is>
      </c>
    </row>
    <row r="5">
      <c r="A5" s="52" t="inlineStr">
        <is>
          <t>timestamp</t>
        </is>
      </c>
      <c r="B5" s="53" t="inlineStr">
        <is>
          <t>TIMESTAMPTZ</t>
        </is>
      </c>
      <c r="C5" s="32" t="inlineStr">
        <is>
          <t>telemetry_raw</t>
        </is>
      </c>
      <c r="D5" s="13" t="inlineStr">
        <is>
          <t>เวลาบันทึกสัญญาณเซนเซอร์ระดับ millisecond (UTC)</t>
        </is>
      </c>
      <c r="E5" s="32" t="inlineStr">
        <is>
          <t>2026-10-05T14:32:01.002Z</t>
        </is>
      </c>
      <c r="F5" s="13" t="inlineStr">
        <is>
          <t>90 วัน (TimescaleDB Chunk)</t>
        </is>
      </c>
    </row>
    <row r="6">
      <c r="A6" s="54" t="inlineStr">
        <is>
          <t>machine_id</t>
        </is>
      </c>
      <c r="B6" s="55" t="inlineStr">
        <is>
          <t>VARCHAR(32)</t>
        </is>
      </c>
      <c r="C6" s="30" t="inlineStr">
        <is>
          <t>telemetry_raw</t>
        </is>
      </c>
      <c r="D6" s="9" t="inlineStr">
        <is>
          <t>รหัสอ้างอิงประจำเครื่องจักรตามระบบ SAP ERP</t>
        </is>
      </c>
      <c r="E6" s="30" t="inlineStr">
        <is>
          <t>RY-CNC-004</t>
        </is>
      </c>
      <c r="F6" s="9" t="inlineStr">
        <is>
          <t>90 วัน</t>
        </is>
      </c>
    </row>
    <row r="7">
      <c r="A7" s="52" t="inlineStr">
        <is>
          <t>line_id</t>
        </is>
      </c>
      <c r="B7" s="53" t="inlineStr">
        <is>
          <t>VARCHAR(32)</t>
        </is>
      </c>
      <c r="C7" s="32" t="inlineStr">
        <is>
          <t>dim_machine</t>
        </is>
      </c>
      <c r="D7" s="13" t="inlineStr">
        <is>
          <t>รหัสประจำสายการผลิต</t>
        </is>
      </c>
      <c r="E7" s="32" t="inlineStr">
        <is>
          <t>LINE-B</t>
        </is>
      </c>
      <c r="F7" s="13" t="inlineStr">
        <is>
          <t>ไม่จำกัด (Master Data)</t>
        </is>
      </c>
    </row>
    <row r="8">
      <c r="A8" s="54" t="inlineStr">
        <is>
          <t>vib_rms_vel</t>
        </is>
      </c>
      <c r="B8" s="55" t="inlineStr">
        <is>
          <t>FLOAT4</t>
        </is>
      </c>
      <c r="C8" s="30" t="inlineStr">
        <is>
          <t>telemetry_raw</t>
        </is>
      </c>
      <c r="D8" s="9" t="inlineStr">
        <is>
          <t>ความเร็วการสั่นสะเทือน (mm/s RMS) ตาม ISO 10816</t>
        </is>
      </c>
      <c r="E8" s="30" t="inlineStr">
        <is>
          <t>2.45</t>
        </is>
      </c>
      <c r="F8" s="9" t="inlineStr">
        <is>
          <t>90 วัน (Raw) / 7 ปี (Aggregated)</t>
        </is>
      </c>
    </row>
    <row r="9">
      <c r="A9" s="52" t="inlineStr">
        <is>
          <t>bearing_temp</t>
        </is>
      </c>
      <c r="B9" s="53" t="inlineStr">
        <is>
          <t>FLOAT4</t>
        </is>
      </c>
      <c r="C9" s="32" t="inlineStr">
        <is>
          <t>telemetry_raw</t>
        </is>
      </c>
      <c r="D9" s="13" t="inlineStr">
        <is>
          <t>อุณหภูมิผิวตลับลูกปืน (°C)</t>
        </is>
      </c>
      <c r="E9" s="32" t="inlineStr">
        <is>
          <t>68.20</t>
        </is>
      </c>
      <c r="F9" s="13" t="inlineStr">
        <is>
          <t>90 วัน (Raw) / 7 ปี (Aggregated)</t>
        </is>
      </c>
    </row>
    <row r="10">
      <c r="A10" s="54" t="inlineStr">
        <is>
          <t>anomaly_score</t>
        </is>
      </c>
      <c r="B10" s="55" t="inlineStr">
        <is>
          <t>FLOAT4</t>
        </is>
      </c>
      <c r="C10" s="30" t="inlineStr">
        <is>
          <t>ai_model_predictions</t>
        </is>
      </c>
      <c r="D10" s="9" t="inlineStr">
        <is>
          <t>คะแนนความผิดปกติที่คำนวณโดย LSTM Autoencoder (0.0 - 1.0)</t>
        </is>
      </c>
      <c r="E10" s="30" t="inlineStr">
        <is>
          <t>0.88</t>
        </is>
      </c>
      <c r="F10" s="9" t="inlineStr">
        <is>
          <t>ไม่จำกัดระยะเวลา (Audit Compliance)</t>
        </is>
      </c>
    </row>
    <row r="11">
      <c r="A11" s="52" t="inlineStr">
        <is>
          <t>risk_level</t>
        </is>
      </c>
      <c r="B11" s="53" t="inlineStr">
        <is>
          <t>VARCHAR(16)</t>
        </is>
      </c>
      <c r="C11" s="32" t="inlineStr">
        <is>
          <t>active_alerts</t>
        </is>
      </c>
      <c r="D11" s="13" t="inlineStr">
        <is>
          <t>ระดับความเสี่ยงของอาการขัดข้อง (CRITICAL, HIGH, MEDIUM, LOW)</t>
        </is>
      </c>
      <c r="E11" s="32" t="inlineStr">
        <is>
          <t>CRITICAL</t>
        </is>
      </c>
      <c r="F11" s="13" t="inlineStr">
        <is>
          <t>ไม่จำกัดระยะเวลา</t>
        </is>
      </c>
    </row>
    <row r="12">
      <c r="A12" s="54" t="inlineStr">
        <is>
          <t>work_order_id</t>
        </is>
      </c>
      <c r="B12" s="55" t="inlineStr">
        <is>
          <t>VARCHAR(32)</t>
        </is>
      </c>
      <c r="C12" s="30" t="inlineStr">
        <is>
          <t>cmms_integration</t>
        </is>
      </c>
      <c r="D12" s="9" t="inlineStr">
        <is>
          <t>รหัสใบสั่งซ่อมบำรุงในระบบ SAP CMMS</t>
        </is>
      </c>
      <c r="E12" s="30" t="inlineStr">
        <is>
          <t>WO-4082</t>
        </is>
      </c>
      <c r="F12" s="9" t="inlineStr">
        <is>
          <t>ไม่จำกัดระยะเวลา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2026-10-05T16:54:42Z</dcterms:created>
  <dcterms:modified xmlns:dcterms="http://purl.org/dc/terms/" xmlns:xsi="http://www.w3.org/2001/XMLSchema-instance" xsi:type="dcterms:W3CDTF">2026-10-05T16:54:42Z</dcterms:modified>
</cp:coreProperties>
</file>